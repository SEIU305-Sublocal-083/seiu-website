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Downloads\"/>
    </mc:Choice>
  </mc:AlternateContent>
  <xr:revisionPtr revIDLastSave="0" documentId="13_ncr:1_{733D7DE2-6435-4CDC-928F-CCBFC923DD61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Contact Info" sheetId="1" r:id="rId1"/>
    <sheet name="2025_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2000000}">
      <text>
        <r>
          <rPr>
            <sz val="10"/>
            <color rgb="FF000000"/>
            <rFont val="Arial"/>
          </rPr>
          <t>DD MMM YYYY
	-Rhett Sullivan</t>
        </r>
      </text>
    </comment>
    <comment ref="E1" authorId="0" shapeId="0" xr:uid="{00000000-0006-0000-0100-000001000000}">
      <text>
        <r>
          <rPr>
            <sz val="10"/>
            <color rgb="FF000000"/>
            <rFont val="Arial"/>
          </rPr>
          <t>{YYYY}-PSU-{Day###}{###}{Year in 4 digits}-{UniversityID}-{Date Assisgned's Day Number}{NumberOfCasesReceivedThatDay#}
	-Rhett Sullivan</t>
        </r>
      </text>
    </comment>
  </commentList>
</comments>
</file>

<file path=xl/sharedStrings.xml><?xml version="1.0" encoding="utf-8"?>
<sst xmlns="http://schemas.openxmlformats.org/spreadsheetml/2006/main" count="444" uniqueCount="177">
  <si>
    <t>Status</t>
  </si>
  <si>
    <t>PSU Email Address</t>
  </si>
  <si>
    <t>College - Title</t>
  </si>
  <si>
    <t>Work Phone</t>
  </si>
  <si>
    <t>Work Office</t>
  </si>
  <si>
    <t>Cell Phone</t>
  </si>
  <si>
    <t>Allison Gammons</t>
  </si>
  <si>
    <t>agammons@pdx.edu</t>
  </si>
  <si>
    <t>UHRL - Housing Operations Coordinator</t>
  </si>
  <si>
    <t>(503) 725-4347</t>
  </si>
  <si>
    <t>BDWY 210</t>
  </si>
  <si>
    <t>Brian Myers</t>
  </si>
  <si>
    <t>Limted - Union Secretary - PSU Workload</t>
  </si>
  <si>
    <t>myers@pdx.edu</t>
  </si>
  <si>
    <t>OIT - Field Tech Services Lead</t>
  </si>
  <si>
    <t>(503) 725-9143</t>
  </si>
  <si>
    <t>FAB 250F</t>
  </si>
  <si>
    <t>Corina McCay</t>
  </si>
  <si>
    <t>cmccay@pdx.edu</t>
  </si>
  <si>
    <t>HG - Helen Gorden Center</t>
  </si>
  <si>
    <t>(503) 725 3092</t>
  </si>
  <si>
    <t>HG</t>
  </si>
  <si>
    <t>Marko Markoc</t>
  </si>
  <si>
    <t>Limited - PSU Workload</t>
  </si>
  <si>
    <t>mmarkoc@pdx.edu</t>
  </si>
  <si>
    <t>OIT - Linux Systems Admin</t>
  </si>
  <si>
    <t>(503) 725-9524</t>
  </si>
  <si>
    <t>Remote/FAB</t>
  </si>
  <si>
    <t>Rhett Sullivan</t>
  </si>
  <si>
    <t>rhetts@pdx.edu</t>
  </si>
  <si>
    <t>OIT - Printing Services Administrator, Office of Information Technology</t>
  </si>
  <si>
    <t>(503) 725 9176</t>
  </si>
  <si>
    <t>Remote/FAB 250H</t>
  </si>
  <si>
    <t>Rob Fullmer</t>
  </si>
  <si>
    <t>Limited -  Union President - IT Cases Only, some reclassification expertise cases</t>
  </si>
  <si>
    <t>fullmer@pdx.edu</t>
  </si>
  <si>
    <t>CLAS - IT</t>
  </si>
  <si>
    <t>(503) 725 8047</t>
  </si>
  <si>
    <t>CLAS</t>
  </si>
  <si>
    <t>Shayne Stone</t>
  </si>
  <si>
    <t>Limited - PSU Workload - Investigation Interviews</t>
  </si>
  <si>
    <t>stonesj@pdx.edu</t>
  </si>
  <si>
    <t>FPM - Plumber/housing maintenance, Facilities &amp; Property Management</t>
  </si>
  <si>
    <t>MONT 2</t>
  </si>
  <si>
    <t>Xavier Oberlander</t>
  </si>
  <si>
    <t>xavier@pdx.edu</t>
  </si>
  <si>
    <t>COTA - Program Asst., College of the Arts</t>
  </si>
  <si>
    <t>(503) 725 3680</t>
  </si>
  <si>
    <t>FMH 360</t>
  </si>
  <si>
    <t>Vacant</t>
  </si>
  <si>
    <t>Priya Thakkar [Salem]</t>
  </si>
  <si>
    <t>pthakkar@pdx.edu</t>
  </si>
  <si>
    <t>503-725-6696</t>
  </si>
  <si>
    <t>Salem Oregon</t>
  </si>
  <si>
    <t>highered@seiu503.org</t>
  </si>
  <si>
    <t>At the moment, any cases from our Salem office go to the MRC</t>
  </si>
  <si>
    <t>Penny VanSanton</t>
  </si>
  <si>
    <t>SEIU 503</t>
  </si>
  <si>
    <t>vansantenp@seiu503.org</t>
  </si>
  <si>
    <t>MRC Orgainizer</t>
  </si>
  <si>
    <t>Joseph Cartino</t>
  </si>
  <si>
    <t>cartinoj@seiu503.org</t>
  </si>
  <si>
    <t>SEIU Organizer</t>
  </si>
  <si>
    <t>Elizabeth Breton</t>
  </si>
  <si>
    <t>bretone@seiu503.org</t>
  </si>
  <si>
    <t>Pranay Paddinti</t>
  </si>
  <si>
    <t>Day of the Year Number:</t>
  </si>
  <si>
    <t>Determine Case Number:</t>
  </si>
  <si>
    <t>YYYY-PSU-YY{Day of the Year Number}(Followup Grievances #)</t>
  </si>
  <si>
    <t>Date Case Assigned</t>
  </si>
  <si>
    <t>Steward of Record</t>
  </si>
  <si>
    <t>Represented Name</t>
  </si>
  <si>
    <t>Department</t>
  </si>
  <si>
    <t>Case Number</t>
  </si>
  <si>
    <t>Article, Section</t>
  </si>
  <si>
    <t>Brief Description of Case</t>
  </si>
  <si>
    <t>Open/Closed</t>
  </si>
  <si>
    <t>Extra Notes</t>
  </si>
  <si>
    <t>Contract Enforcer</t>
  </si>
  <si>
    <t>Example Line</t>
  </si>
  <si>
    <t>OIT</t>
  </si>
  <si>
    <t>2025-PSU-2500201</t>
  </si>
  <si>
    <t>22, Set 1</t>
  </si>
  <si>
    <t>Payed Correctly</t>
  </si>
  <si>
    <t>Contract Violation Analysis</t>
  </si>
  <si>
    <t>Open</t>
  </si>
  <si>
    <t>An example of the entry</t>
  </si>
  <si>
    <t>2025-PSU-2501401</t>
  </si>
  <si>
    <t>Article 49</t>
  </si>
  <si>
    <t>Performance Eval Questions</t>
  </si>
  <si>
    <t>Member writting rebuttal</t>
  </si>
  <si>
    <t>Closed</t>
  </si>
  <si>
    <t>Priya Thakkar</t>
  </si>
  <si>
    <t>2025-PSU-2502201</t>
  </si>
  <si>
    <t>Article 17</t>
  </si>
  <si>
    <t>Investigatory Suspensions with Pay</t>
  </si>
  <si>
    <t>Returned to Work</t>
  </si>
  <si>
    <t>Letter states effective 21 Jan 2025.  14 days ends on 4 Feb 2025.</t>
  </si>
  <si>
    <t>Senior Steward: Shane Stone</t>
  </si>
  <si>
    <t>2025-PSU-2502401</t>
  </si>
  <si>
    <t>Articles 21, 22, 49</t>
  </si>
  <si>
    <t>Job Classification</t>
  </si>
  <si>
    <t>Employee submitted resignation</t>
  </si>
  <si>
    <t>Last day at PSU 28 Feb 2025.</t>
  </si>
  <si>
    <t>2025-PSU-2503001</t>
  </si>
  <si>
    <t>Article 21</t>
  </si>
  <si>
    <t>COLA Questions</t>
  </si>
  <si>
    <t>Questions Answered</t>
  </si>
  <si>
    <t>2025-PSU-2503801</t>
  </si>
  <si>
    <t>Article 48</t>
  </si>
  <si>
    <t>Reclassification Upward/Downward</t>
  </si>
  <si>
    <t>Manager will initiate the PD update</t>
  </si>
  <si>
    <t>2025-PSU-2504801</t>
  </si>
  <si>
    <t>Article 51</t>
  </si>
  <si>
    <t>Questions about Asbestos concerns</t>
  </si>
  <si>
    <t>Referred Member to ensure all PSU proceedures are followed and watch for reactions</t>
  </si>
  <si>
    <t>2025-PSU-2504802</t>
  </si>
  <si>
    <t>Article 58</t>
  </si>
  <si>
    <t>Questions about inclement weather</t>
  </si>
  <si>
    <t>2025-PSU-250621</t>
  </si>
  <si>
    <t>Steward Assigned</t>
  </si>
  <si>
    <t>2025-PSU-250651</t>
  </si>
  <si>
    <t>Article 36</t>
  </si>
  <si>
    <t>FMLA/OFLA</t>
  </si>
  <si>
    <t>&lt;Referred to 503&gt;</t>
  </si>
  <si>
    <t>2025-PSU-250761</t>
  </si>
  <si>
    <t>Template Sent</t>
  </si>
  <si>
    <t>2025-PSU-250762</t>
  </si>
  <si>
    <t>Step 3 - Meeting</t>
  </si>
  <si>
    <t>2025-PSU-250771</t>
  </si>
  <si>
    <t>Article 44</t>
  </si>
  <si>
    <t>Layoff</t>
  </si>
  <si>
    <t>Member waiting for Steward Assignment</t>
  </si>
  <si>
    <t>2025-PSU-250772</t>
  </si>
  <si>
    <t>Notice Given to Union</t>
  </si>
  <si>
    <t>Member Cancellation - Moved to AAUP</t>
  </si>
  <si>
    <t>Confirmed Cancellation</t>
  </si>
  <si>
    <t>2025-PSU-250861</t>
  </si>
  <si>
    <t>Job Questions/Treatment</t>
  </si>
  <si>
    <t>Initial Chat</t>
  </si>
  <si>
    <t>2025-PSU-250911</t>
  </si>
  <si>
    <t>2025-PSU-251011</t>
  </si>
  <si>
    <t>Questions about pay</t>
  </si>
  <si>
    <t>2025-PSU-251051</t>
  </si>
  <si>
    <t>Questions about Accomodations</t>
  </si>
  <si>
    <t>Referred to Leave's Team</t>
  </si>
  <si>
    <t>2025-PSU-251071</t>
  </si>
  <si>
    <t>experiencing some issues as MA</t>
  </si>
  <si>
    <t>Email stated no longer need our help</t>
  </si>
  <si>
    <t>2025-PSU-251281</t>
  </si>
  <si>
    <t>Unfounded</t>
  </si>
  <si>
    <t>2025-PSU-251341</t>
  </si>
  <si>
    <t>2025-PSU-251351</t>
  </si>
  <si>
    <t>Referred to HR Partner</t>
  </si>
  <si>
    <t>2025-PSU-251352</t>
  </si>
  <si>
    <t>Given Notice - 30 Jun 2025</t>
  </si>
  <si>
    <t>Notice was not sent to SEIU089 President</t>
  </si>
  <si>
    <t>zBlank</t>
  </si>
  <si>
    <t>Employee Resigned</t>
  </si>
  <si>
    <t>No CBA Violation</t>
  </si>
  <si>
    <t>{ Anonymized }</t>
  </si>
  <si>
    <t>DoR</t>
  </si>
  <si>
    <t>YYYY-{University Acronim)-YY{Day of the Year Number}(Number of cases Received that day)</t>
  </si>
  <si>
    <t>https://www.epochconverter.com/daynumbers</t>
  </si>
  <si>
    <t>Unavailable - { Anonymized }</t>
  </si>
  <si>
    <t>Limited - CET Lead - PSU Workload</t>
  </si>
  <si>
    <t>Madison Newell</t>
  </si>
  <si>
    <t>newellm@seiu503.org</t>
  </si>
  <si>
    <t>Contract Enforcement Coordinator</t>
  </si>
  <si>
    <t>peddintip@seiu503.org</t>
  </si>
  <si>
    <t>SEIU Organizer for PSU</t>
  </si>
  <si>
    <t>YYYY-OSU-YY{Day of the Year Number}(Followup Grievances #)</t>
  </si>
  <si>
    <t>YYYY-UoO-YY{Day of the Year Number}(Followup Grievances #)</t>
  </si>
  <si>
    <t>CET Member Name</t>
  </si>
  <si>
    <t>CET Member Status</t>
  </si>
  <si>
    <t>Time Breaks Questions</t>
  </si>
  <si>
    <t>Referred to 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</si>
</sst>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-&quot;mmm&quot;-&quot;yyyy"/>
    <numFmt numFmtId="165" formatCode="dd\ mmm\ yyyy"/>
    <numFmt numFmtId="166" formatCode="d\ mmm\ yyyy"/>
    <numFmt numFmtId="167" formatCode="d\ mmmm\ yyyy"/>
  </numFmts>
  <fonts count="15" x14ac:knownFonts="1">
    <font>
      <sz val="10"/>
      <color rgb="FF000000"/>
      <name val="Arial"/>
    </font>
    <font>
      <sz val="11"/>
      <name val="Arial"/>
    </font>
    <font>
      <sz val="10"/>
      <name val="Arial"/>
    </font>
    <font>
      <sz val="11"/>
      <color rgb="FF000000"/>
      <name val="Arial"/>
    </font>
    <font>
      <sz val="11"/>
      <color rgb="FF222222"/>
      <name val="Arial"/>
    </font>
    <font>
      <strike/>
      <sz val="10"/>
      <name val="Arial"/>
    </font>
    <font>
      <sz val="11"/>
      <name val="Arial"/>
    </font>
    <font>
      <strike/>
      <sz val="11"/>
      <name val="Arial"/>
    </font>
    <font>
      <sz val="10"/>
      <color rgb="FF000000"/>
      <name val="Arial"/>
      <family val="2"/>
    </font>
    <font>
      <sz val="12"/>
      <name val="Verdana"/>
      <family val="2"/>
    </font>
    <font>
      <sz val="12"/>
      <color rgb="FF000000"/>
      <name val="Verdana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trike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0" fillId="0" borderId="0" xfId="0" applyFill="1"/>
    <xf numFmtId="0" fontId="2" fillId="0" borderId="1" xfId="0" applyFont="1" applyBorder="1" applyAlignment="1"/>
    <xf numFmtId="0" fontId="0" fillId="0" borderId="1" xfId="0" applyFont="1" applyBorder="1" applyAlignment="1"/>
    <xf numFmtId="0" fontId="9" fillId="0" borderId="0" xfId="0" applyFont="1" applyAlignment="1"/>
    <xf numFmtId="0" fontId="10" fillId="0" borderId="0" xfId="0" applyFont="1" applyAlignment="1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/>
    <xf numFmtId="167" fontId="9" fillId="0" borderId="0" xfId="0" applyNumberFormat="1" applyFont="1" applyAlignment="1"/>
    <xf numFmtId="165" fontId="9" fillId="0" borderId="0" xfId="0" applyNumberFormat="1" applyFont="1" applyAlignment="1"/>
    <xf numFmtId="0" fontId="9" fillId="6" borderId="0" xfId="0" applyFont="1" applyFill="1" applyAlignment="1"/>
    <xf numFmtId="0" fontId="9" fillId="0" borderId="0" xfId="0" applyFont="1" applyAlignment="1">
      <alignment horizontal="center" wrapText="1"/>
    </xf>
    <xf numFmtId="0" fontId="10" fillId="6" borderId="0" xfId="0" applyFont="1" applyFill="1" applyAlignment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1" xfId="0" applyFont="1" applyBorder="1"/>
    <xf numFmtId="0" fontId="5" fillId="0" borderId="1" xfId="0" applyFont="1" applyBorder="1" applyAlignment="1"/>
    <xf numFmtId="0" fontId="6" fillId="0" borderId="1" xfId="0" applyFont="1" applyBorder="1" applyAlignment="1"/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4" fontId="2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/>
    <xf numFmtId="0" fontId="14" fillId="0" borderId="1" xfId="0" applyFont="1" applyBorder="1" applyAlignment="1"/>
    <xf numFmtId="0" fontId="8" fillId="0" borderId="1" xfId="0" applyFont="1" applyBorder="1" applyAlignment="1"/>
    <xf numFmtId="0" fontId="8" fillId="0" borderId="1" xfId="0" applyFont="1" applyBorder="1" applyAlignment="1">
      <alignment horizontal="center"/>
    </xf>
    <xf numFmtId="0" fontId="13" fillId="0" borderId="1" xfId="0" applyFont="1" applyBorder="1"/>
    <xf numFmtId="0" fontId="13" fillId="2" borderId="1" xfId="0" applyFont="1" applyFill="1" applyBorder="1" applyAlignment="1"/>
    <xf numFmtId="0" fontId="13" fillId="4" borderId="1" xfId="0" applyFont="1" applyFill="1" applyBorder="1" applyAlignment="1"/>
    <xf numFmtId="0" fontId="1" fillId="0" borderId="2" xfId="0" applyFont="1" applyFill="1" applyBorder="1" applyAlignment="1"/>
  </cellXfs>
  <cellStyles count="1">
    <cellStyle name="Normal" xfId="0" builtinId="0"/>
  </cellStyles>
  <dxfs count="8"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3" sqref="A13"/>
    </sheetView>
  </sheetViews>
  <sheetFormatPr defaultColWidth="12.5703125" defaultRowHeight="15.75" customHeight="1" x14ac:dyDescent="0.2"/>
  <cols>
    <col min="1" max="1" width="22.85546875" style="3" customWidth="1"/>
    <col min="2" max="2" width="42.85546875" style="3" customWidth="1"/>
    <col min="3" max="3" width="32.42578125" style="3" customWidth="1"/>
    <col min="4" max="4" width="65.7109375" style="3" customWidth="1"/>
    <col min="5" max="5" width="19.42578125" style="3" customWidth="1"/>
    <col min="6" max="6" width="21.42578125" style="3" customWidth="1"/>
    <col min="7" max="7" width="17" style="3" customWidth="1"/>
    <col min="8" max="16384" width="12.5703125" style="3"/>
  </cols>
  <sheetData>
    <row r="1" spans="1:8" ht="15.75" customHeight="1" x14ac:dyDescent="0.2">
      <c r="A1" s="32" t="s">
        <v>173</v>
      </c>
      <c r="B1" s="32" t="s">
        <v>174</v>
      </c>
      <c r="C1" s="32" t="s">
        <v>1</v>
      </c>
      <c r="D1" s="32" t="s">
        <v>2</v>
      </c>
      <c r="E1" s="32" t="s">
        <v>3</v>
      </c>
      <c r="F1" s="32" t="s">
        <v>4</v>
      </c>
      <c r="G1" s="33" t="s">
        <v>5</v>
      </c>
    </row>
    <row r="2" spans="1:8" ht="15.75" customHeight="1" x14ac:dyDescent="0.2">
      <c r="A2" s="14" t="s">
        <v>6</v>
      </c>
      <c r="B2" s="39" t="s">
        <v>164</v>
      </c>
      <c r="C2" s="14" t="s">
        <v>7</v>
      </c>
      <c r="D2" s="14" t="s">
        <v>8</v>
      </c>
      <c r="E2" s="14" t="s">
        <v>9</v>
      </c>
      <c r="F2" s="16" t="s">
        <v>10</v>
      </c>
      <c r="G2" s="36" t="s">
        <v>160</v>
      </c>
    </row>
    <row r="3" spans="1:8" ht="15.75" customHeight="1" x14ac:dyDescent="0.2">
      <c r="A3" s="14" t="s">
        <v>11</v>
      </c>
      <c r="B3" s="15" t="s">
        <v>12</v>
      </c>
      <c r="C3" s="14" t="s">
        <v>13</v>
      </c>
      <c r="D3" s="14" t="s">
        <v>14</v>
      </c>
      <c r="E3" s="14" t="s">
        <v>15</v>
      </c>
      <c r="F3" s="16" t="s">
        <v>16</v>
      </c>
      <c r="G3" s="36" t="s">
        <v>160</v>
      </c>
    </row>
    <row r="4" spans="1:8" ht="15.75" customHeight="1" x14ac:dyDescent="0.2">
      <c r="A4" s="14" t="s">
        <v>17</v>
      </c>
      <c r="B4" s="40" t="s">
        <v>164</v>
      </c>
      <c r="C4" s="14" t="s">
        <v>18</v>
      </c>
      <c r="D4" s="14" t="s">
        <v>19</v>
      </c>
      <c r="E4" s="14" t="s">
        <v>20</v>
      </c>
      <c r="F4" s="14" t="s">
        <v>21</v>
      </c>
      <c r="G4" s="36" t="s">
        <v>160</v>
      </c>
    </row>
    <row r="5" spans="1:8" ht="15.75" customHeight="1" x14ac:dyDescent="0.2">
      <c r="A5" s="14" t="s">
        <v>22</v>
      </c>
      <c r="B5" s="15" t="s">
        <v>23</v>
      </c>
      <c r="C5" s="14" t="s">
        <v>24</v>
      </c>
      <c r="D5" s="14" t="s">
        <v>25</v>
      </c>
      <c r="E5" s="14" t="s">
        <v>26</v>
      </c>
      <c r="F5" s="14" t="s">
        <v>27</v>
      </c>
      <c r="G5" s="36" t="s">
        <v>160</v>
      </c>
    </row>
    <row r="6" spans="1:8" ht="15.75" customHeight="1" x14ac:dyDescent="0.2">
      <c r="A6" s="14" t="s">
        <v>28</v>
      </c>
      <c r="B6" s="39" t="s">
        <v>165</v>
      </c>
      <c r="C6" s="14" t="s">
        <v>29</v>
      </c>
      <c r="D6" s="14" t="s">
        <v>30</v>
      </c>
      <c r="E6" s="14" t="s">
        <v>31</v>
      </c>
      <c r="F6" s="14" t="s">
        <v>32</v>
      </c>
      <c r="G6" s="36" t="s">
        <v>160</v>
      </c>
    </row>
    <row r="7" spans="1:8" ht="15.75" customHeight="1" x14ac:dyDescent="0.2">
      <c r="A7" s="14" t="s">
        <v>33</v>
      </c>
      <c r="B7" s="15" t="s">
        <v>34</v>
      </c>
      <c r="C7" s="14" t="s">
        <v>35</v>
      </c>
      <c r="D7" s="14" t="s">
        <v>36</v>
      </c>
      <c r="E7" s="14" t="s">
        <v>37</v>
      </c>
      <c r="F7" s="14" t="s">
        <v>38</v>
      </c>
      <c r="G7" s="36" t="s">
        <v>160</v>
      </c>
    </row>
    <row r="8" spans="1:8" ht="15.75" customHeight="1" x14ac:dyDescent="0.2">
      <c r="A8" s="14" t="s">
        <v>39</v>
      </c>
      <c r="B8" s="15" t="s">
        <v>40</v>
      </c>
      <c r="C8" s="14" t="s">
        <v>41</v>
      </c>
      <c r="D8" s="14" t="s">
        <v>42</v>
      </c>
      <c r="E8" s="34" t="s">
        <v>160</v>
      </c>
      <c r="F8" s="14" t="s">
        <v>43</v>
      </c>
      <c r="G8" s="36" t="s">
        <v>160</v>
      </c>
    </row>
    <row r="9" spans="1:8" ht="15.75" customHeight="1" x14ac:dyDescent="0.2">
      <c r="A9" s="17" t="s">
        <v>44</v>
      </c>
      <c r="B9" s="39" t="s">
        <v>164</v>
      </c>
      <c r="C9" s="14" t="s">
        <v>45</v>
      </c>
      <c r="D9" s="14" t="s">
        <v>46</v>
      </c>
      <c r="E9" s="14" t="s">
        <v>47</v>
      </c>
      <c r="F9" s="14" t="s">
        <v>48</v>
      </c>
      <c r="G9" s="36" t="s">
        <v>160</v>
      </c>
    </row>
    <row r="10" spans="1:8" ht="15.75" customHeight="1" x14ac:dyDescent="0.2">
      <c r="A10" s="14"/>
      <c r="B10" s="15" t="s">
        <v>49</v>
      </c>
      <c r="C10" s="14"/>
      <c r="D10" s="14"/>
      <c r="E10" s="14"/>
      <c r="F10" s="14"/>
    </row>
    <row r="11" spans="1:8" ht="15.75" customHeight="1" x14ac:dyDescent="0.2">
      <c r="A11" s="18"/>
      <c r="B11" s="15" t="s">
        <v>49</v>
      </c>
      <c r="C11" s="14"/>
      <c r="D11" s="14"/>
      <c r="E11" s="14"/>
      <c r="F11" s="14"/>
    </row>
    <row r="12" spans="1:8" ht="15.75" customHeight="1" x14ac:dyDescent="0.2">
      <c r="A12" s="14"/>
      <c r="B12" s="15" t="s">
        <v>49</v>
      </c>
      <c r="C12" s="14"/>
      <c r="D12" s="14"/>
      <c r="E12" s="16"/>
      <c r="F12" s="14"/>
    </row>
    <row r="13" spans="1:8" ht="15.75" customHeight="1" x14ac:dyDescent="0.2">
      <c r="A13" s="14"/>
      <c r="B13" s="19"/>
      <c r="C13" s="14"/>
      <c r="D13" s="14"/>
      <c r="E13" s="14"/>
      <c r="F13" s="14"/>
    </row>
    <row r="14" spans="1:8" ht="15.75" customHeight="1" x14ac:dyDescent="0.2">
      <c r="A14" s="20"/>
      <c r="B14" s="19"/>
      <c r="C14" s="20"/>
      <c r="D14" s="20"/>
      <c r="F14" s="20"/>
      <c r="G14" s="21"/>
      <c r="H14" s="21"/>
    </row>
    <row r="15" spans="1:8" ht="15.75" customHeight="1" x14ac:dyDescent="0.2">
      <c r="A15" s="14" t="s">
        <v>50</v>
      </c>
      <c r="B15" s="39" t="s">
        <v>164</v>
      </c>
      <c r="C15" s="14" t="s">
        <v>51</v>
      </c>
      <c r="D15" s="14"/>
      <c r="E15" s="22" t="s">
        <v>52</v>
      </c>
      <c r="F15" s="14" t="s">
        <v>53</v>
      </c>
      <c r="G15" s="34" t="s">
        <v>160</v>
      </c>
      <c r="H15" s="21"/>
    </row>
    <row r="16" spans="1:8" ht="15.75" customHeight="1" x14ac:dyDescent="0.2">
      <c r="B16" s="19"/>
      <c r="C16" s="14" t="s">
        <v>54</v>
      </c>
      <c r="D16" s="35" t="s">
        <v>55</v>
      </c>
      <c r="E16" s="20"/>
      <c r="F16" s="20"/>
      <c r="G16" s="21"/>
      <c r="H16" s="21"/>
    </row>
    <row r="17" spans="1:9" ht="15.75" customHeight="1" x14ac:dyDescent="0.2">
      <c r="D17" s="20"/>
      <c r="E17" s="20"/>
      <c r="F17" s="20"/>
      <c r="G17" s="21"/>
      <c r="H17" s="21"/>
    </row>
    <row r="18" spans="1:9" ht="15.75" customHeight="1" x14ac:dyDescent="0.2">
      <c r="A18" s="23" t="s">
        <v>56</v>
      </c>
      <c r="B18" s="24" t="s">
        <v>57</v>
      </c>
      <c r="C18" s="23" t="s">
        <v>58</v>
      </c>
      <c r="D18" s="23" t="s">
        <v>59</v>
      </c>
      <c r="E18" s="34" t="s">
        <v>160</v>
      </c>
      <c r="F18" s="20"/>
      <c r="G18" s="38" t="s">
        <v>160</v>
      </c>
    </row>
    <row r="19" spans="1:9" ht="15.75" customHeight="1" x14ac:dyDescent="0.2">
      <c r="A19" s="34" t="s">
        <v>166</v>
      </c>
      <c r="B19" s="25" t="s">
        <v>57</v>
      </c>
      <c r="C19" s="1" t="s">
        <v>167</v>
      </c>
      <c r="D19" s="34" t="s">
        <v>168</v>
      </c>
      <c r="E19" s="20"/>
      <c r="F19" s="20"/>
      <c r="G19" s="34" t="s">
        <v>160</v>
      </c>
    </row>
    <row r="20" spans="1:9" ht="15.75" customHeight="1" x14ac:dyDescent="0.2">
      <c r="A20" s="26" t="s">
        <v>60</v>
      </c>
      <c r="B20" s="27" t="s">
        <v>57</v>
      </c>
      <c r="C20" s="26" t="s">
        <v>61</v>
      </c>
      <c r="D20" s="26" t="s">
        <v>62</v>
      </c>
      <c r="E20" s="35" t="s">
        <v>160</v>
      </c>
      <c r="F20" s="28"/>
      <c r="G20" s="35" t="s">
        <v>160</v>
      </c>
    </row>
    <row r="21" spans="1:9" ht="15.75" customHeight="1" x14ac:dyDescent="0.2">
      <c r="A21" s="22" t="s">
        <v>63</v>
      </c>
      <c r="B21" s="29" t="s">
        <v>57</v>
      </c>
      <c r="C21" s="22" t="s">
        <v>64</v>
      </c>
      <c r="D21" s="22" t="s">
        <v>62</v>
      </c>
      <c r="E21" s="34" t="s">
        <v>160</v>
      </c>
      <c r="F21" s="30"/>
      <c r="G21" s="38" t="s">
        <v>160</v>
      </c>
    </row>
    <row r="22" spans="1:9" ht="15.75" customHeight="1" x14ac:dyDescent="0.2">
      <c r="A22" s="22" t="s">
        <v>65</v>
      </c>
      <c r="B22" s="29" t="s">
        <v>57</v>
      </c>
      <c r="C22" s="1" t="s">
        <v>169</v>
      </c>
      <c r="D22" s="34" t="s">
        <v>170</v>
      </c>
      <c r="E22" s="30" t="s">
        <v>160</v>
      </c>
      <c r="F22" s="30"/>
      <c r="G22" s="38" t="s">
        <v>160</v>
      </c>
    </row>
    <row r="23" spans="1:9" ht="15.75" customHeight="1" x14ac:dyDescent="0.2">
      <c r="A23" s="30"/>
      <c r="B23" s="30"/>
      <c r="C23" s="30"/>
      <c r="D23" s="30"/>
      <c r="E23" s="30"/>
      <c r="F23" s="30"/>
      <c r="G23" s="30"/>
    </row>
    <row r="24" spans="1:9" ht="15.75" customHeight="1" x14ac:dyDescent="0.2">
      <c r="A24" s="30"/>
      <c r="B24" s="2" t="s">
        <v>66</v>
      </c>
      <c r="C24" s="37">
        <f ca="1">DATEDIF(_xlfn.SINGLE(_xlfn.CONCAT("1-1-",YEAR(NOW()))),TODAY(),"D")+1</f>
        <v>140</v>
      </c>
      <c r="D24" s="1" t="s">
        <v>163</v>
      </c>
      <c r="E24" s="30"/>
      <c r="F24" s="30"/>
      <c r="G24" s="30"/>
    </row>
    <row r="25" spans="1:9" ht="15.75" customHeight="1" x14ac:dyDescent="0.2">
      <c r="B25" s="22" t="s">
        <v>67</v>
      </c>
      <c r="C25" s="22"/>
      <c r="D25" s="34" t="s">
        <v>162</v>
      </c>
      <c r="E25" s="30"/>
      <c r="F25" s="30"/>
      <c r="G25" s="30"/>
      <c r="I25" s="31"/>
    </row>
    <row r="26" spans="1:9" ht="15.75" customHeight="1" x14ac:dyDescent="0.2">
      <c r="A26" s="30"/>
      <c r="B26" s="30"/>
      <c r="C26" s="30"/>
      <c r="D26" s="14" t="s">
        <v>68</v>
      </c>
      <c r="E26" s="30"/>
      <c r="F26" s="30"/>
      <c r="G26" s="30"/>
    </row>
    <row r="27" spans="1:9" ht="15.75" customHeight="1" x14ac:dyDescent="0.2">
      <c r="A27" s="14"/>
      <c r="B27" s="14"/>
      <c r="C27" s="14"/>
      <c r="D27" s="41" t="s">
        <v>171</v>
      </c>
      <c r="E27" s="30"/>
      <c r="F27" s="30"/>
      <c r="G27" s="30"/>
    </row>
    <row r="28" spans="1:9" ht="15.75" customHeight="1" x14ac:dyDescent="0.2">
      <c r="D28" s="3" t="s">
        <v>172</v>
      </c>
    </row>
    <row r="33" spans="2:2" ht="15.75" customHeight="1" x14ac:dyDescent="0.2">
      <c r="B33" s="2"/>
    </row>
  </sheetData>
  <conditionalFormatting sqref="B2:B16">
    <cfRule type="cellIs" dxfId="7" priority="1" operator="equal">
      <formula>"Available"</formula>
    </cfRule>
  </conditionalFormatting>
  <conditionalFormatting sqref="B2:B16">
    <cfRule type="containsText" dxfId="6" priority="2" operator="containsText" text="UnAvailable">
      <formula>NOT(ISERROR(SEARCH(("UnAvailable"),(B2))))</formula>
    </cfRule>
  </conditionalFormatting>
  <conditionalFormatting sqref="B2:B16">
    <cfRule type="containsText" dxfId="5" priority="3" operator="containsText" text="Available">
      <formula>NOT(ISERROR(SEARCH(("Available"),(B2))))</formula>
    </cfRule>
  </conditionalFormatting>
  <conditionalFormatting sqref="B2:B16">
    <cfRule type="containsText" dxfId="4" priority="4" operator="containsText" text="Trainee">
      <formula>NOT(ISERROR(SEARCH(("Trainee"),(B2))))</formula>
    </cfRule>
  </conditionalFormatting>
  <conditionalFormatting sqref="B2:B16">
    <cfRule type="cellIs" dxfId="3" priority="5" operator="equal">
      <formula>"Vacant"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51"/>
  <sheetViews>
    <sheetView workbookViewId="0">
      <pane ySplit="2" topLeftCell="A3" activePane="bottomLeft" state="frozen"/>
      <selection pane="bottomLeft" activeCell="B19" sqref="B19"/>
    </sheetView>
  </sheetViews>
  <sheetFormatPr defaultColWidth="12.5703125" defaultRowHeight="15.75" customHeight="1" x14ac:dyDescent="0.2"/>
  <cols>
    <col min="1" max="1" width="23.140625" style="5" customWidth="1"/>
    <col min="2" max="2" width="24.42578125" style="5" customWidth="1"/>
    <col min="3" max="3" width="23.5703125" style="5" customWidth="1"/>
    <col min="4" max="4" width="25.7109375" style="5" customWidth="1"/>
    <col min="5" max="5" width="23.85546875" style="5" customWidth="1"/>
    <col min="6" max="6" width="25.28515625" style="5" customWidth="1"/>
    <col min="7" max="7" width="44" style="5" customWidth="1"/>
    <col min="8" max="8" width="34.42578125" style="5" customWidth="1"/>
    <col min="9" max="9" width="18.85546875" style="5" customWidth="1"/>
    <col min="10" max="10" width="25.42578125" style="5" customWidth="1"/>
    <col min="11" max="11" width="18" style="5" customWidth="1"/>
    <col min="12" max="16384" width="12.5703125" style="5"/>
  </cols>
  <sheetData>
    <row r="1" spans="1:12" ht="15.75" customHeight="1" x14ac:dyDescent="0.2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12" t="s">
        <v>0</v>
      </c>
      <c r="I1" s="7" t="s">
        <v>76</v>
      </c>
      <c r="J1" s="7" t="s">
        <v>77</v>
      </c>
    </row>
    <row r="2" spans="1:12" ht="15.75" customHeight="1" x14ac:dyDescent="0.2">
      <c r="A2" s="10">
        <v>45659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</row>
    <row r="3" spans="1:12" ht="15.75" customHeight="1" x14ac:dyDescent="0.2">
      <c r="A3" s="8">
        <v>45671</v>
      </c>
      <c r="B3" s="4" t="s">
        <v>28</v>
      </c>
      <c r="C3" s="4" t="s">
        <v>160</v>
      </c>
      <c r="D3" s="4" t="s">
        <v>160</v>
      </c>
      <c r="E3" s="4" t="s">
        <v>87</v>
      </c>
      <c r="F3" s="4" t="s">
        <v>88</v>
      </c>
      <c r="G3" s="4" t="s">
        <v>89</v>
      </c>
      <c r="H3" s="4" t="s">
        <v>90</v>
      </c>
      <c r="I3" s="4" t="s">
        <v>91</v>
      </c>
    </row>
    <row r="4" spans="1:12" ht="15.75" customHeight="1" x14ac:dyDescent="0.2">
      <c r="A4" s="8">
        <v>45679</v>
      </c>
      <c r="B4" s="4" t="s">
        <v>92</v>
      </c>
      <c r="C4" s="4" t="s">
        <v>160</v>
      </c>
      <c r="D4" s="4" t="s">
        <v>160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91</v>
      </c>
      <c r="J4" s="4" t="s">
        <v>97</v>
      </c>
      <c r="L4" s="4" t="s">
        <v>98</v>
      </c>
    </row>
    <row r="5" spans="1:12" ht="15.75" customHeight="1" x14ac:dyDescent="0.2">
      <c r="A5" s="8">
        <v>45681</v>
      </c>
      <c r="B5" s="4" t="s">
        <v>28</v>
      </c>
      <c r="C5" s="4" t="s">
        <v>160</v>
      </c>
      <c r="D5" s="4" t="s">
        <v>160</v>
      </c>
      <c r="E5" s="4" t="s">
        <v>99</v>
      </c>
      <c r="F5" s="4" t="s">
        <v>100</v>
      </c>
      <c r="G5" s="4" t="s">
        <v>101</v>
      </c>
      <c r="H5" s="4" t="s">
        <v>102</v>
      </c>
      <c r="I5" s="4" t="s">
        <v>91</v>
      </c>
      <c r="J5" s="4" t="s">
        <v>103</v>
      </c>
      <c r="L5" s="13" t="s">
        <v>158</v>
      </c>
    </row>
    <row r="6" spans="1:12" ht="15.75" customHeight="1" x14ac:dyDescent="0.2">
      <c r="A6" s="8">
        <v>45687</v>
      </c>
      <c r="B6" s="4" t="s">
        <v>28</v>
      </c>
      <c r="C6" s="4" t="s">
        <v>160</v>
      </c>
      <c r="D6" s="4" t="s">
        <v>160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91</v>
      </c>
    </row>
    <row r="7" spans="1:12" ht="15.75" customHeight="1" x14ac:dyDescent="0.2">
      <c r="A7" s="8">
        <v>45695</v>
      </c>
      <c r="B7" s="4" t="s">
        <v>22</v>
      </c>
      <c r="C7" s="4" t="s">
        <v>160</v>
      </c>
      <c r="D7" s="4" t="s">
        <v>160</v>
      </c>
      <c r="E7" s="4" t="s">
        <v>108</v>
      </c>
      <c r="F7" s="4" t="s">
        <v>109</v>
      </c>
      <c r="G7" s="4" t="s">
        <v>110</v>
      </c>
      <c r="H7" s="4" t="s">
        <v>107</v>
      </c>
      <c r="I7" s="4" t="s">
        <v>91</v>
      </c>
      <c r="J7" s="11" t="s">
        <v>111</v>
      </c>
      <c r="K7" s="13"/>
    </row>
    <row r="8" spans="1:12" ht="15.75" customHeight="1" x14ac:dyDescent="0.2">
      <c r="A8" s="8">
        <v>45705</v>
      </c>
      <c r="B8" s="4" t="s">
        <v>28</v>
      </c>
      <c r="C8" s="4" t="s">
        <v>160</v>
      </c>
      <c r="D8" s="4" t="s">
        <v>160</v>
      </c>
      <c r="E8" s="4" t="s">
        <v>112</v>
      </c>
      <c r="F8" s="4" t="s">
        <v>113</v>
      </c>
      <c r="G8" s="4" t="s">
        <v>114</v>
      </c>
      <c r="H8" s="4" t="s">
        <v>107</v>
      </c>
      <c r="I8" s="4" t="s">
        <v>91</v>
      </c>
      <c r="J8" s="4" t="s">
        <v>115</v>
      </c>
    </row>
    <row r="9" spans="1:12" ht="15.75" customHeight="1" x14ac:dyDescent="0.2">
      <c r="A9" s="8">
        <v>45705</v>
      </c>
      <c r="B9" s="4" t="s">
        <v>28</v>
      </c>
      <c r="C9" s="4" t="s">
        <v>160</v>
      </c>
      <c r="D9" s="4" t="s">
        <v>160</v>
      </c>
      <c r="E9" s="4" t="s">
        <v>112</v>
      </c>
      <c r="F9" s="4" t="s">
        <v>113</v>
      </c>
      <c r="G9" s="4" t="s">
        <v>114</v>
      </c>
      <c r="H9" s="4" t="s">
        <v>107</v>
      </c>
      <c r="I9" s="4" t="s">
        <v>91</v>
      </c>
      <c r="J9" s="4" t="s">
        <v>115</v>
      </c>
    </row>
    <row r="10" spans="1:12" ht="15.75" customHeight="1" x14ac:dyDescent="0.2">
      <c r="A10" s="8">
        <v>45705</v>
      </c>
      <c r="B10" s="4" t="s">
        <v>28</v>
      </c>
      <c r="C10" s="4" t="s">
        <v>160</v>
      </c>
      <c r="D10" s="4" t="s">
        <v>160</v>
      </c>
      <c r="E10" s="4" t="s">
        <v>116</v>
      </c>
      <c r="F10" s="4" t="s">
        <v>117</v>
      </c>
      <c r="G10" s="4" t="s">
        <v>118</v>
      </c>
      <c r="H10" s="4" t="s">
        <v>107</v>
      </c>
      <c r="I10" s="4" t="s">
        <v>91</v>
      </c>
    </row>
    <row r="11" spans="1:12" ht="15.75" customHeight="1" x14ac:dyDescent="0.2">
      <c r="A11" s="8">
        <v>45719</v>
      </c>
      <c r="B11" s="4" t="s">
        <v>22</v>
      </c>
      <c r="C11" s="4" t="s">
        <v>160</v>
      </c>
      <c r="D11" s="4" t="s">
        <v>160</v>
      </c>
      <c r="E11" s="4" t="s">
        <v>119</v>
      </c>
      <c r="F11" s="4" t="s">
        <v>109</v>
      </c>
      <c r="G11" s="4" t="s">
        <v>110</v>
      </c>
      <c r="H11" s="4" t="s">
        <v>120</v>
      </c>
      <c r="I11" s="4" t="s">
        <v>91</v>
      </c>
    </row>
    <row r="12" spans="1:12" ht="15.75" customHeight="1" x14ac:dyDescent="0.2">
      <c r="A12" s="8">
        <v>45721</v>
      </c>
      <c r="B12" s="4" t="s">
        <v>28</v>
      </c>
      <c r="C12" s="4" t="s">
        <v>160</v>
      </c>
      <c r="D12" s="4" t="s">
        <v>160</v>
      </c>
      <c r="E12" s="4" t="s">
        <v>121</v>
      </c>
      <c r="F12" s="4" t="s">
        <v>122</v>
      </c>
      <c r="G12" s="4" t="s">
        <v>123</v>
      </c>
      <c r="H12" s="4" t="s">
        <v>107</v>
      </c>
      <c r="I12" s="4" t="s">
        <v>91</v>
      </c>
    </row>
    <row r="13" spans="1:12" ht="15.75" customHeight="1" x14ac:dyDescent="0.2">
      <c r="A13" s="8">
        <v>45733</v>
      </c>
      <c r="B13" s="4" t="s">
        <v>124</v>
      </c>
      <c r="C13" s="4" t="s">
        <v>160</v>
      </c>
      <c r="D13" s="4" t="s">
        <v>160</v>
      </c>
      <c r="E13" s="4" t="s">
        <v>125</v>
      </c>
      <c r="F13" s="4" t="s">
        <v>109</v>
      </c>
      <c r="G13" s="4" t="s">
        <v>110</v>
      </c>
      <c r="H13" s="4" t="s">
        <v>126</v>
      </c>
      <c r="I13" s="4" t="s">
        <v>91</v>
      </c>
    </row>
    <row r="14" spans="1:12" ht="15.75" customHeight="1" x14ac:dyDescent="0.2">
      <c r="A14" s="8">
        <v>45733</v>
      </c>
      <c r="B14" s="4" t="s">
        <v>33</v>
      </c>
      <c r="C14" s="4" t="s">
        <v>160</v>
      </c>
      <c r="D14" s="4" t="s">
        <v>160</v>
      </c>
      <c r="E14" s="4" t="s">
        <v>127</v>
      </c>
      <c r="F14" s="4" t="s">
        <v>88</v>
      </c>
      <c r="G14" s="4" t="s">
        <v>110</v>
      </c>
      <c r="H14" s="4" t="s">
        <v>128</v>
      </c>
      <c r="I14" s="4" t="s">
        <v>85</v>
      </c>
    </row>
    <row r="15" spans="1:12" ht="15.75" customHeight="1" x14ac:dyDescent="0.2">
      <c r="A15" s="8">
        <v>45734</v>
      </c>
      <c r="B15" s="4" t="s">
        <v>124</v>
      </c>
      <c r="C15" s="4" t="s">
        <v>160</v>
      </c>
      <c r="D15" s="4" t="s">
        <v>160</v>
      </c>
      <c r="E15" s="4" t="s">
        <v>129</v>
      </c>
      <c r="F15" s="4" t="s">
        <v>130</v>
      </c>
      <c r="G15" s="4" t="s">
        <v>131</v>
      </c>
      <c r="H15" s="4" t="s">
        <v>132</v>
      </c>
      <c r="I15" s="4" t="s">
        <v>91</v>
      </c>
    </row>
    <row r="16" spans="1:12" ht="15.75" customHeight="1" x14ac:dyDescent="0.2">
      <c r="A16" s="8">
        <v>45734</v>
      </c>
      <c r="B16" s="4" t="s">
        <v>124</v>
      </c>
      <c r="C16" s="4" t="s">
        <v>160</v>
      </c>
      <c r="D16" s="4" t="s">
        <v>160</v>
      </c>
      <c r="E16" s="4" t="s">
        <v>133</v>
      </c>
      <c r="F16" s="4" t="s">
        <v>130</v>
      </c>
      <c r="G16" s="4" t="s">
        <v>131</v>
      </c>
      <c r="H16" s="4" t="s">
        <v>134</v>
      </c>
      <c r="I16" s="4" t="s">
        <v>91</v>
      </c>
    </row>
    <row r="17" spans="1:10" ht="15.75" customHeight="1" x14ac:dyDescent="0.2">
      <c r="A17" s="8">
        <v>45741</v>
      </c>
      <c r="B17" s="4" t="s">
        <v>28</v>
      </c>
      <c r="C17" s="4" t="s">
        <v>160</v>
      </c>
      <c r="D17" s="4" t="s">
        <v>160</v>
      </c>
      <c r="E17" s="4" t="s">
        <v>121</v>
      </c>
      <c r="G17" s="4" t="s">
        <v>135</v>
      </c>
      <c r="H17" s="4" t="s">
        <v>176</v>
      </c>
      <c r="I17" s="4" t="s">
        <v>91</v>
      </c>
      <c r="J17" s="5" t="s">
        <v>136</v>
      </c>
    </row>
    <row r="18" spans="1:10" ht="15.75" customHeight="1" x14ac:dyDescent="0.2">
      <c r="A18" s="8">
        <v>45742</v>
      </c>
      <c r="C18" s="4" t="s">
        <v>160</v>
      </c>
      <c r="D18" s="4" t="s">
        <v>160</v>
      </c>
      <c r="E18" s="4" t="s">
        <v>137</v>
      </c>
      <c r="G18" s="4" t="s">
        <v>138</v>
      </c>
      <c r="H18" s="4" t="s">
        <v>139</v>
      </c>
      <c r="I18" s="4" t="s">
        <v>91</v>
      </c>
    </row>
    <row r="19" spans="1:10" ht="15.75" customHeight="1" x14ac:dyDescent="0.2">
      <c r="A19" s="8">
        <v>45749</v>
      </c>
      <c r="C19" s="4" t="s">
        <v>160</v>
      </c>
      <c r="D19" s="4" t="s">
        <v>160</v>
      </c>
      <c r="E19" s="4" t="s">
        <v>140</v>
      </c>
      <c r="G19" s="4" t="s">
        <v>138</v>
      </c>
      <c r="H19" s="4" t="s">
        <v>139</v>
      </c>
      <c r="I19" s="4" t="s">
        <v>91</v>
      </c>
    </row>
    <row r="20" spans="1:10" ht="15.75" customHeight="1" x14ac:dyDescent="0.2">
      <c r="A20" s="8">
        <v>45758</v>
      </c>
      <c r="B20" s="4" t="s">
        <v>33</v>
      </c>
      <c r="C20" s="4" t="s">
        <v>160</v>
      </c>
      <c r="D20" s="4" t="s">
        <v>160</v>
      </c>
      <c r="E20" s="4" t="s">
        <v>141</v>
      </c>
      <c r="G20" s="4" t="s">
        <v>142</v>
      </c>
      <c r="H20" s="5" t="s">
        <v>107</v>
      </c>
      <c r="I20" s="4" t="s">
        <v>91</v>
      </c>
    </row>
    <row r="21" spans="1:10" ht="15.75" customHeight="1" x14ac:dyDescent="0.2">
      <c r="A21" s="8">
        <v>45762</v>
      </c>
      <c r="B21" s="5" t="s">
        <v>28</v>
      </c>
      <c r="C21" s="4" t="s">
        <v>160</v>
      </c>
      <c r="D21" s="4" t="s">
        <v>160</v>
      </c>
      <c r="E21" s="4" t="s">
        <v>143</v>
      </c>
      <c r="G21" s="4" t="s">
        <v>144</v>
      </c>
      <c r="H21" s="4" t="s">
        <v>145</v>
      </c>
      <c r="I21" s="4" t="s">
        <v>91</v>
      </c>
    </row>
    <row r="22" spans="1:10" ht="15.75" customHeight="1" x14ac:dyDescent="0.2">
      <c r="A22" s="8">
        <v>45764</v>
      </c>
      <c r="B22" s="4" t="s">
        <v>28</v>
      </c>
      <c r="C22" s="4" t="s">
        <v>160</v>
      </c>
      <c r="D22" s="4" t="s">
        <v>160</v>
      </c>
      <c r="E22" s="4" t="s">
        <v>146</v>
      </c>
      <c r="G22" s="4" t="s">
        <v>147</v>
      </c>
      <c r="H22" s="4" t="s">
        <v>161</v>
      </c>
      <c r="I22" s="4" t="s">
        <v>91</v>
      </c>
      <c r="J22" s="4" t="s">
        <v>148</v>
      </c>
    </row>
    <row r="23" spans="1:10" ht="15.75" customHeight="1" x14ac:dyDescent="0.2">
      <c r="A23" s="9">
        <v>45785</v>
      </c>
      <c r="B23" s="4" t="s">
        <v>44</v>
      </c>
      <c r="C23" s="4" t="s">
        <v>160</v>
      </c>
      <c r="D23" s="4" t="s">
        <v>160</v>
      </c>
      <c r="E23" s="4" t="s">
        <v>149</v>
      </c>
      <c r="F23" s="4" t="s">
        <v>109</v>
      </c>
      <c r="G23" s="4" t="s">
        <v>110</v>
      </c>
      <c r="H23" s="4" t="s">
        <v>159</v>
      </c>
      <c r="I23" s="4" t="s">
        <v>91</v>
      </c>
      <c r="J23" s="5" t="s">
        <v>150</v>
      </c>
    </row>
    <row r="24" spans="1:10" ht="15.75" customHeight="1" x14ac:dyDescent="0.2">
      <c r="A24" s="9">
        <v>45791</v>
      </c>
      <c r="C24" s="4" t="s">
        <v>160</v>
      </c>
      <c r="D24" s="4" t="s">
        <v>160</v>
      </c>
      <c r="E24" s="4" t="s">
        <v>151</v>
      </c>
      <c r="I24" s="4" t="s">
        <v>91</v>
      </c>
    </row>
    <row r="25" spans="1:10" ht="15.75" customHeight="1" x14ac:dyDescent="0.2">
      <c r="A25" s="9">
        <v>45792</v>
      </c>
      <c r="B25" s="5" t="s">
        <v>28</v>
      </c>
      <c r="C25" s="4" t="s">
        <v>160</v>
      </c>
      <c r="D25" s="4" t="s">
        <v>160</v>
      </c>
      <c r="E25" s="4" t="s">
        <v>152</v>
      </c>
      <c r="G25" s="5" t="s">
        <v>175</v>
      </c>
      <c r="H25" s="4" t="s">
        <v>153</v>
      </c>
      <c r="I25" s="4" t="s">
        <v>91</v>
      </c>
      <c r="J25" s="4"/>
    </row>
    <row r="26" spans="1:10" ht="15.75" customHeight="1" x14ac:dyDescent="0.2">
      <c r="A26" s="9">
        <v>45792</v>
      </c>
      <c r="B26" s="4" t="s">
        <v>28</v>
      </c>
      <c r="C26" s="4" t="s">
        <v>160</v>
      </c>
      <c r="D26" s="4" t="s">
        <v>160</v>
      </c>
      <c r="E26" s="4" t="s">
        <v>154</v>
      </c>
      <c r="F26" s="4" t="s">
        <v>130</v>
      </c>
      <c r="G26" s="4" t="s">
        <v>131</v>
      </c>
      <c r="H26" s="4" t="s">
        <v>155</v>
      </c>
      <c r="I26" s="4" t="s">
        <v>85</v>
      </c>
      <c r="J26" s="4" t="s">
        <v>156</v>
      </c>
    </row>
    <row r="27" spans="1:10" ht="15.75" customHeight="1" x14ac:dyDescent="0.2">
      <c r="I27" s="4" t="s">
        <v>157</v>
      </c>
    </row>
    <row r="28" spans="1:10" ht="15.75" customHeight="1" x14ac:dyDescent="0.2">
      <c r="I28" s="4" t="s">
        <v>157</v>
      </c>
    </row>
    <row r="29" spans="1:10" ht="15.75" customHeight="1" x14ac:dyDescent="0.2">
      <c r="I29" s="4" t="s">
        <v>157</v>
      </c>
    </row>
    <row r="30" spans="1:10" ht="15.75" customHeight="1" x14ac:dyDescent="0.2">
      <c r="I30" s="4" t="s">
        <v>157</v>
      </c>
    </row>
    <row r="31" spans="1:10" ht="15.75" customHeight="1" x14ac:dyDescent="0.2">
      <c r="I31" s="4" t="s">
        <v>157</v>
      </c>
    </row>
    <row r="32" spans="1:10" ht="15.75" customHeight="1" x14ac:dyDescent="0.2">
      <c r="I32" s="4" t="s">
        <v>157</v>
      </c>
    </row>
    <row r="33" spans="9:9" ht="15.75" customHeight="1" x14ac:dyDescent="0.2">
      <c r="I33" s="4" t="s">
        <v>157</v>
      </c>
    </row>
    <row r="34" spans="9:9" ht="15.75" customHeight="1" x14ac:dyDescent="0.2">
      <c r="I34" s="4" t="s">
        <v>157</v>
      </c>
    </row>
    <row r="35" spans="9:9" ht="15.75" customHeight="1" x14ac:dyDescent="0.2">
      <c r="I35" s="4" t="s">
        <v>157</v>
      </c>
    </row>
    <row r="36" spans="9:9" ht="15.75" customHeight="1" x14ac:dyDescent="0.2">
      <c r="I36" s="4" t="s">
        <v>157</v>
      </c>
    </row>
    <row r="37" spans="9:9" ht="15.75" customHeight="1" x14ac:dyDescent="0.2">
      <c r="I37" s="4" t="s">
        <v>157</v>
      </c>
    </row>
    <row r="38" spans="9:9" ht="15.75" customHeight="1" x14ac:dyDescent="0.2">
      <c r="I38" s="4" t="s">
        <v>157</v>
      </c>
    </row>
    <row r="39" spans="9:9" ht="15.75" customHeight="1" x14ac:dyDescent="0.2">
      <c r="I39" s="4" t="s">
        <v>157</v>
      </c>
    </row>
    <row r="40" spans="9:9" ht="15" x14ac:dyDescent="0.2">
      <c r="I40" s="4" t="s">
        <v>157</v>
      </c>
    </row>
    <row r="41" spans="9:9" ht="15" x14ac:dyDescent="0.2">
      <c r="I41" s="4" t="s">
        <v>157</v>
      </c>
    </row>
    <row r="42" spans="9:9" ht="15" x14ac:dyDescent="0.2">
      <c r="I42" s="4" t="s">
        <v>157</v>
      </c>
    </row>
    <row r="43" spans="9:9" ht="15" x14ac:dyDescent="0.2">
      <c r="I43" s="4" t="s">
        <v>157</v>
      </c>
    </row>
    <row r="44" spans="9:9" ht="15" x14ac:dyDescent="0.2">
      <c r="I44" s="4" t="s">
        <v>157</v>
      </c>
    </row>
    <row r="45" spans="9:9" ht="15" x14ac:dyDescent="0.2">
      <c r="I45" s="4" t="s">
        <v>157</v>
      </c>
    </row>
    <row r="46" spans="9:9" ht="15" x14ac:dyDescent="0.2">
      <c r="I46" s="4" t="s">
        <v>157</v>
      </c>
    </row>
    <row r="47" spans="9:9" ht="15" x14ac:dyDescent="0.2">
      <c r="I47" s="4" t="s">
        <v>157</v>
      </c>
    </row>
    <row r="48" spans="9:9" ht="15" x14ac:dyDescent="0.2">
      <c r="I48" s="4" t="s">
        <v>157</v>
      </c>
    </row>
    <row r="49" spans="9:9" ht="15" x14ac:dyDescent="0.2">
      <c r="I49" s="4" t="s">
        <v>157</v>
      </c>
    </row>
    <row r="50" spans="9:9" ht="15" x14ac:dyDescent="0.2">
      <c r="I50" s="4" t="s">
        <v>157</v>
      </c>
    </row>
    <row r="51" spans="9:9" ht="15" x14ac:dyDescent="0.2">
      <c r="I51" s="4" t="s">
        <v>157</v>
      </c>
    </row>
    <row r="52" spans="9:9" ht="15" x14ac:dyDescent="0.2">
      <c r="I52" s="4" t="s">
        <v>157</v>
      </c>
    </row>
    <row r="53" spans="9:9" ht="15" x14ac:dyDescent="0.2">
      <c r="I53" s="4" t="s">
        <v>157</v>
      </c>
    </row>
    <row r="54" spans="9:9" ht="15" x14ac:dyDescent="0.2">
      <c r="I54" s="4" t="s">
        <v>157</v>
      </c>
    </row>
    <row r="55" spans="9:9" ht="15" x14ac:dyDescent="0.2">
      <c r="I55" s="4" t="s">
        <v>157</v>
      </c>
    </row>
    <row r="56" spans="9:9" ht="15" x14ac:dyDescent="0.2">
      <c r="I56" s="4" t="s">
        <v>157</v>
      </c>
    </row>
    <row r="57" spans="9:9" ht="15" x14ac:dyDescent="0.2">
      <c r="I57" s="4" t="s">
        <v>157</v>
      </c>
    </row>
    <row r="58" spans="9:9" ht="15" x14ac:dyDescent="0.2">
      <c r="I58" s="4" t="s">
        <v>157</v>
      </c>
    </row>
    <row r="59" spans="9:9" ht="15" x14ac:dyDescent="0.2">
      <c r="I59" s="4" t="s">
        <v>157</v>
      </c>
    </row>
    <row r="60" spans="9:9" ht="15" x14ac:dyDescent="0.2">
      <c r="I60" s="4" t="s">
        <v>157</v>
      </c>
    </row>
    <row r="61" spans="9:9" ht="15" x14ac:dyDescent="0.2">
      <c r="I61" s="4" t="s">
        <v>157</v>
      </c>
    </row>
    <row r="62" spans="9:9" ht="15" x14ac:dyDescent="0.2">
      <c r="I62" s="4" t="s">
        <v>157</v>
      </c>
    </row>
    <row r="63" spans="9:9" ht="15" x14ac:dyDescent="0.2">
      <c r="I63" s="4" t="s">
        <v>157</v>
      </c>
    </row>
    <row r="64" spans="9:9" ht="15" x14ac:dyDescent="0.2">
      <c r="I64" s="4" t="s">
        <v>157</v>
      </c>
    </row>
    <row r="65" spans="9:9" ht="15" x14ac:dyDescent="0.2">
      <c r="I65" s="4" t="s">
        <v>157</v>
      </c>
    </row>
    <row r="66" spans="9:9" ht="15" x14ac:dyDescent="0.2">
      <c r="I66" s="4" t="s">
        <v>157</v>
      </c>
    </row>
    <row r="67" spans="9:9" ht="15" x14ac:dyDescent="0.2">
      <c r="I67" s="4" t="s">
        <v>157</v>
      </c>
    </row>
    <row r="68" spans="9:9" ht="15" x14ac:dyDescent="0.2">
      <c r="I68" s="4" t="s">
        <v>157</v>
      </c>
    </row>
    <row r="69" spans="9:9" ht="15" x14ac:dyDescent="0.2">
      <c r="I69" s="4" t="s">
        <v>157</v>
      </c>
    </row>
    <row r="70" spans="9:9" ht="15" x14ac:dyDescent="0.2">
      <c r="I70" s="4" t="s">
        <v>157</v>
      </c>
    </row>
    <row r="71" spans="9:9" ht="15" x14ac:dyDescent="0.2">
      <c r="I71" s="4" t="s">
        <v>157</v>
      </c>
    </row>
    <row r="72" spans="9:9" ht="15" x14ac:dyDescent="0.2">
      <c r="I72" s="4" t="s">
        <v>157</v>
      </c>
    </row>
    <row r="73" spans="9:9" ht="15" x14ac:dyDescent="0.2">
      <c r="I73" s="4" t="s">
        <v>157</v>
      </c>
    </row>
    <row r="74" spans="9:9" ht="15" x14ac:dyDescent="0.2">
      <c r="I74" s="4" t="s">
        <v>157</v>
      </c>
    </row>
    <row r="75" spans="9:9" ht="15" x14ac:dyDescent="0.2">
      <c r="I75" s="4" t="s">
        <v>157</v>
      </c>
    </row>
    <row r="76" spans="9:9" ht="15" x14ac:dyDescent="0.2">
      <c r="I76" s="4" t="s">
        <v>157</v>
      </c>
    </row>
    <row r="77" spans="9:9" ht="15" x14ac:dyDescent="0.2">
      <c r="I77" s="4" t="s">
        <v>157</v>
      </c>
    </row>
    <row r="78" spans="9:9" ht="15" x14ac:dyDescent="0.2">
      <c r="I78" s="4" t="s">
        <v>157</v>
      </c>
    </row>
    <row r="79" spans="9:9" ht="15" x14ac:dyDescent="0.2">
      <c r="I79" s="4" t="s">
        <v>157</v>
      </c>
    </row>
    <row r="80" spans="9:9" ht="15" x14ac:dyDescent="0.2">
      <c r="I80" s="4" t="s">
        <v>157</v>
      </c>
    </row>
    <row r="81" spans="9:9" ht="15" x14ac:dyDescent="0.2">
      <c r="I81" s="4" t="s">
        <v>157</v>
      </c>
    </row>
    <row r="82" spans="9:9" ht="15" x14ac:dyDescent="0.2">
      <c r="I82" s="4" t="s">
        <v>157</v>
      </c>
    </row>
    <row r="83" spans="9:9" ht="15" x14ac:dyDescent="0.2">
      <c r="I83" s="4" t="s">
        <v>157</v>
      </c>
    </row>
    <row r="84" spans="9:9" ht="15" x14ac:dyDescent="0.2">
      <c r="I84" s="4" t="s">
        <v>157</v>
      </c>
    </row>
    <row r="85" spans="9:9" ht="15" x14ac:dyDescent="0.2">
      <c r="I85" s="4" t="s">
        <v>157</v>
      </c>
    </row>
    <row r="86" spans="9:9" ht="15" x14ac:dyDescent="0.2">
      <c r="I86" s="4" t="s">
        <v>157</v>
      </c>
    </row>
    <row r="87" spans="9:9" ht="15" x14ac:dyDescent="0.2">
      <c r="I87" s="4" t="s">
        <v>157</v>
      </c>
    </row>
    <row r="88" spans="9:9" ht="15" x14ac:dyDescent="0.2">
      <c r="I88" s="4" t="s">
        <v>157</v>
      </c>
    </row>
    <row r="89" spans="9:9" ht="15" x14ac:dyDescent="0.2">
      <c r="I89" s="4" t="s">
        <v>157</v>
      </c>
    </row>
    <row r="90" spans="9:9" ht="15" x14ac:dyDescent="0.2">
      <c r="I90" s="4" t="s">
        <v>157</v>
      </c>
    </row>
    <row r="91" spans="9:9" ht="15" x14ac:dyDescent="0.2">
      <c r="I91" s="4" t="s">
        <v>157</v>
      </c>
    </row>
    <row r="92" spans="9:9" ht="15" x14ac:dyDescent="0.2">
      <c r="I92" s="4" t="s">
        <v>157</v>
      </c>
    </row>
    <row r="93" spans="9:9" ht="15" x14ac:dyDescent="0.2">
      <c r="I93" s="4" t="s">
        <v>157</v>
      </c>
    </row>
    <row r="94" spans="9:9" ht="15" x14ac:dyDescent="0.2">
      <c r="I94" s="4" t="s">
        <v>157</v>
      </c>
    </row>
    <row r="95" spans="9:9" ht="15" x14ac:dyDescent="0.2">
      <c r="I95" s="4" t="s">
        <v>157</v>
      </c>
    </row>
    <row r="96" spans="9:9" ht="15" x14ac:dyDescent="0.2">
      <c r="I96" s="4" t="s">
        <v>157</v>
      </c>
    </row>
    <row r="97" spans="9:9" ht="15" x14ac:dyDescent="0.2">
      <c r="I97" s="4" t="s">
        <v>157</v>
      </c>
    </row>
    <row r="98" spans="9:9" ht="15" x14ac:dyDescent="0.2">
      <c r="I98" s="4" t="s">
        <v>157</v>
      </c>
    </row>
    <row r="99" spans="9:9" ht="15" x14ac:dyDescent="0.2">
      <c r="I99" s="4" t="s">
        <v>157</v>
      </c>
    </row>
    <row r="100" spans="9:9" ht="15" x14ac:dyDescent="0.2">
      <c r="I100" s="4" t="s">
        <v>157</v>
      </c>
    </row>
    <row r="101" spans="9:9" ht="15" x14ac:dyDescent="0.2">
      <c r="I101" s="4" t="s">
        <v>157</v>
      </c>
    </row>
    <row r="102" spans="9:9" ht="15" x14ac:dyDescent="0.2">
      <c r="I102" s="4" t="s">
        <v>157</v>
      </c>
    </row>
    <row r="103" spans="9:9" ht="15" x14ac:dyDescent="0.2">
      <c r="I103" s="4" t="s">
        <v>157</v>
      </c>
    </row>
    <row r="104" spans="9:9" ht="15" x14ac:dyDescent="0.2">
      <c r="I104" s="4" t="s">
        <v>157</v>
      </c>
    </row>
    <row r="105" spans="9:9" ht="15" x14ac:dyDescent="0.2">
      <c r="I105" s="4" t="s">
        <v>157</v>
      </c>
    </row>
    <row r="106" spans="9:9" ht="15" x14ac:dyDescent="0.2">
      <c r="I106" s="4" t="s">
        <v>157</v>
      </c>
    </row>
    <row r="107" spans="9:9" ht="15" x14ac:dyDescent="0.2">
      <c r="I107" s="4" t="s">
        <v>157</v>
      </c>
    </row>
    <row r="108" spans="9:9" ht="15" x14ac:dyDescent="0.2">
      <c r="I108" s="4" t="s">
        <v>157</v>
      </c>
    </row>
    <row r="109" spans="9:9" ht="15" x14ac:dyDescent="0.2">
      <c r="I109" s="4" t="s">
        <v>157</v>
      </c>
    </row>
    <row r="110" spans="9:9" ht="15" x14ac:dyDescent="0.2">
      <c r="I110" s="4" t="s">
        <v>157</v>
      </c>
    </row>
    <row r="111" spans="9:9" ht="15" x14ac:dyDescent="0.2">
      <c r="I111" s="4" t="s">
        <v>157</v>
      </c>
    </row>
    <row r="112" spans="9:9" ht="15" x14ac:dyDescent="0.2">
      <c r="I112" s="4" t="s">
        <v>157</v>
      </c>
    </row>
    <row r="113" spans="9:9" ht="15" x14ac:dyDescent="0.2">
      <c r="I113" s="4" t="s">
        <v>157</v>
      </c>
    </row>
    <row r="114" spans="9:9" ht="15" x14ac:dyDescent="0.2">
      <c r="I114" s="4" t="s">
        <v>157</v>
      </c>
    </row>
    <row r="115" spans="9:9" ht="15" x14ac:dyDescent="0.2">
      <c r="I115" s="4" t="s">
        <v>157</v>
      </c>
    </row>
    <row r="116" spans="9:9" ht="15" x14ac:dyDescent="0.2">
      <c r="I116" s="4" t="s">
        <v>157</v>
      </c>
    </row>
    <row r="117" spans="9:9" ht="15" x14ac:dyDescent="0.2">
      <c r="I117" s="4" t="s">
        <v>157</v>
      </c>
    </row>
    <row r="118" spans="9:9" ht="15" x14ac:dyDescent="0.2">
      <c r="I118" s="4" t="s">
        <v>157</v>
      </c>
    </row>
    <row r="119" spans="9:9" ht="15" x14ac:dyDescent="0.2">
      <c r="I119" s="4" t="s">
        <v>157</v>
      </c>
    </row>
    <row r="120" spans="9:9" ht="15" x14ac:dyDescent="0.2">
      <c r="I120" s="4" t="s">
        <v>157</v>
      </c>
    </row>
    <row r="121" spans="9:9" ht="15" x14ac:dyDescent="0.2">
      <c r="I121" s="4" t="s">
        <v>157</v>
      </c>
    </row>
    <row r="122" spans="9:9" ht="15" x14ac:dyDescent="0.2">
      <c r="I122" s="4" t="s">
        <v>157</v>
      </c>
    </row>
    <row r="123" spans="9:9" ht="15" x14ac:dyDescent="0.2">
      <c r="I123" s="4" t="s">
        <v>157</v>
      </c>
    </row>
    <row r="124" spans="9:9" ht="15" x14ac:dyDescent="0.2">
      <c r="I124" s="4" t="s">
        <v>157</v>
      </c>
    </row>
    <row r="125" spans="9:9" ht="15" x14ac:dyDescent="0.2">
      <c r="I125" s="4" t="s">
        <v>157</v>
      </c>
    </row>
    <row r="126" spans="9:9" ht="15" x14ac:dyDescent="0.2">
      <c r="I126" s="4" t="s">
        <v>157</v>
      </c>
    </row>
    <row r="127" spans="9:9" ht="15" x14ac:dyDescent="0.2">
      <c r="I127" s="4" t="s">
        <v>157</v>
      </c>
    </row>
    <row r="128" spans="9:9" ht="15" x14ac:dyDescent="0.2">
      <c r="I128" s="4" t="s">
        <v>157</v>
      </c>
    </row>
    <row r="129" spans="9:9" ht="15" x14ac:dyDescent="0.2">
      <c r="I129" s="4" t="s">
        <v>157</v>
      </c>
    </row>
    <row r="130" spans="9:9" ht="15" x14ac:dyDescent="0.2">
      <c r="I130" s="4" t="s">
        <v>157</v>
      </c>
    </row>
    <row r="131" spans="9:9" ht="15" x14ac:dyDescent="0.2">
      <c r="I131" s="4" t="s">
        <v>157</v>
      </c>
    </row>
    <row r="132" spans="9:9" ht="15" x14ac:dyDescent="0.2">
      <c r="I132" s="4" t="s">
        <v>157</v>
      </c>
    </row>
    <row r="133" spans="9:9" ht="15" x14ac:dyDescent="0.2">
      <c r="I133" s="4" t="s">
        <v>157</v>
      </c>
    </row>
    <row r="134" spans="9:9" ht="15" x14ac:dyDescent="0.2">
      <c r="I134" s="4" t="s">
        <v>157</v>
      </c>
    </row>
    <row r="135" spans="9:9" ht="15" x14ac:dyDescent="0.2">
      <c r="I135" s="4" t="s">
        <v>157</v>
      </c>
    </row>
    <row r="136" spans="9:9" ht="15" x14ac:dyDescent="0.2">
      <c r="I136" s="4" t="s">
        <v>157</v>
      </c>
    </row>
    <row r="137" spans="9:9" ht="15" x14ac:dyDescent="0.2">
      <c r="I137" s="4" t="s">
        <v>157</v>
      </c>
    </row>
    <row r="138" spans="9:9" ht="15" x14ac:dyDescent="0.2">
      <c r="I138" s="4" t="s">
        <v>157</v>
      </c>
    </row>
    <row r="139" spans="9:9" ht="15" x14ac:dyDescent="0.2">
      <c r="I139" s="4" t="s">
        <v>157</v>
      </c>
    </row>
    <row r="140" spans="9:9" ht="15" x14ac:dyDescent="0.2">
      <c r="I140" s="4" t="s">
        <v>157</v>
      </c>
    </row>
    <row r="141" spans="9:9" ht="15" x14ac:dyDescent="0.2">
      <c r="I141" s="4" t="s">
        <v>157</v>
      </c>
    </row>
    <row r="142" spans="9:9" ht="15" x14ac:dyDescent="0.2">
      <c r="I142" s="4" t="s">
        <v>157</v>
      </c>
    </row>
    <row r="143" spans="9:9" ht="15" x14ac:dyDescent="0.2">
      <c r="I143" s="4" t="s">
        <v>157</v>
      </c>
    </row>
    <row r="144" spans="9:9" ht="15" x14ac:dyDescent="0.2">
      <c r="I144" s="4" t="s">
        <v>157</v>
      </c>
    </row>
    <row r="145" spans="9:9" ht="15" x14ac:dyDescent="0.2">
      <c r="I145" s="4" t="s">
        <v>157</v>
      </c>
    </row>
    <row r="146" spans="9:9" ht="15" x14ac:dyDescent="0.2">
      <c r="I146" s="4" t="s">
        <v>157</v>
      </c>
    </row>
    <row r="147" spans="9:9" ht="15" x14ac:dyDescent="0.2">
      <c r="I147" s="4" t="s">
        <v>157</v>
      </c>
    </row>
    <row r="148" spans="9:9" ht="15" x14ac:dyDescent="0.2">
      <c r="I148" s="4" t="s">
        <v>157</v>
      </c>
    </row>
    <row r="149" spans="9:9" ht="15" x14ac:dyDescent="0.2">
      <c r="I149" s="4" t="s">
        <v>157</v>
      </c>
    </row>
    <row r="150" spans="9:9" ht="15" x14ac:dyDescent="0.2">
      <c r="I150" s="4" t="s">
        <v>157</v>
      </c>
    </row>
    <row r="151" spans="9:9" ht="15" x14ac:dyDescent="0.2">
      <c r="I151" s="4" t="s">
        <v>157</v>
      </c>
    </row>
  </sheetData>
  <conditionalFormatting sqref="A2:J151">
    <cfRule type="expression" dxfId="2" priority="1">
      <formula>$I2="Open"</formula>
    </cfRule>
  </conditionalFormatting>
  <conditionalFormatting sqref="A2:J151">
    <cfRule type="expression" dxfId="1" priority="2">
      <formula>$I2="Closed"</formula>
    </cfRule>
  </conditionalFormatting>
  <conditionalFormatting sqref="A2:J151">
    <cfRule type="expression" dxfId="0" priority="3">
      <formula>$I2="zBlank"</formula>
    </cfRule>
  </conditionalFormatting>
  <dataValidations count="1">
    <dataValidation type="list" allowBlank="1" sqref="I2:I151" xr:uid="{00000000-0002-0000-0100-000000000000}">
      <formula1>"Open,Closed,zBlank"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Info</vt:lpstr>
      <vt:lpstr>2025_Cases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Rhett Sullivan</dc:creator>
  <cp:lastModifiedBy>Rhett Sullivan</cp:lastModifiedBy>
  <dcterms:created xsi:type="dcterms:W3CDTF">2025-05-20T20:18:41Z</dcterms:created>
  <dcterms:modified xsi:type="dcterms:W3CDTF">2025-05-20T20:24:22Z</dcterms:modified>
</cp:coreProperties>
</file>